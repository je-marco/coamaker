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co\Desktop\COA Maker\"/>
    </mc:Choice>
  </mc:AlternateContent>
  <xr:revisionPtr revIDLastSave="0" documentId="13_ncr:1_{7F6B29DC-9687-4AD0-8CC2-BD3C4415DD10}" xr6:coauthVersionLast="47" xr6:coauthVersionMax="47" xr10:uidLastSave="{00000000-0000-0000-0000-000000000000}"/>
  <bookViews>
    <workbookView xWindow="-120" yWindow="-120" windowWidth="20730" windowHeight="11760" xr2:uid="{2D479926-D9F3-4367-9D78-C7B138676C8A}"/>
  </bookViews>
  <sheets>
    <sheet name="data" sheetId="1" r:id="rId1"/>
    <sheet name="coa" sheetId="2" r:id="rId2"/>
    <sheet name="standards" sheetId="4" r:id="rId3"/>
  </sheets>
  <definedNames>
    <definedName name="ExternalData_1" localSheetId="0" hidden="1">data!$A$7:$U$11</definedName>
    <definedName name="_xlnm.Print_Area" localSheetId="1">coa!$A$1:$H$49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0" i="2" l="1"/>
  <c r="H20" i="2"/>
  <c r="E21" i="2"/>
  <c r="H21" i="2"/>
  <c r="E22" i="2"/>
  <c r="H22" i="2"/>
  <c r="E23" i="2"/>
  <c r="H23" i="2"/>
  <c r="E24" i="2"/>
  <c r="H24" i="2"/>
  <c r="E25" i="2"/>
  <c r="H25" i="2"/>
  <c r="H19" i="2"/>
  <c r="E19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2612623-AC7E-4A6B-8998-9F60E133ED0B}" keepAlive="1" name="Query - LabResults" description="Connection to the 'LabResults' query in the workbook." type="5" refreshedVersion="8" background="1" saveData="1">
    <dbPr connection="Provider=Microsoft.Mashup.OleDb.1;Data Source=$Workbook$;Location=LabResults;Extended Properties=&quot;&quot;" command="SELECT * FROM [LabResults]"/>
  </connection>
  <connection id="2" xr16:uid="{5246D69A-BECF-499C-A313-6C69DCED72CB}" keepAlive="1" name="Query - ProductInfo" description="Connection to the 'ProductInfo' query in the workbook." type="5" refreshedVersion="0" background="1">
    <dbPr connection="Provider=Microsoft.Mashup.OleDb.1;Data Source=$Workbook$;Location=ProductInfo;Extended Properties=&quot;&quot;" command="SELECT * FROM [ProductInfo]"/>
  </connection>
</connections>
</file>

<file path=xl/sharedStrings.xml><?xml version="1.0" encoding="utf-8"?>
<sst xmlns="http://schemas.openxmlformats.org/spreadsheetml/2006/main" count="327" uniqueCount="98">
  <si>
    <t>Date of Analysis</t>
  </si>
  <si>
    <t>Certificate Number</t>
  </si>
  <si>
    <t>Manufacturing Date</t>
  </si>
  <si>
    <t>Product Name</t>
  </si>
  <si>
    <t>Product Code</t>
  </si>
  <si>
    <t>Batch Number</t>
  </si>
  <si>
    <t>Expiry Date</t>
  </si>
  <si>
    <t>Moisture</t>
  </si>
  <si>
    <t>Aerobic Plate Count</t>
  </si>
  <si>
    <t>Coliforms</t>
  </si>
  <si>
    <t>E. Coli Count Plate</t>
  </si>
  <si>
    <t>Yeast and Mould</t>
  </si>
  <si>
    <t>Salmonella</t>
  </si>
  <si>
    <t>Coag Positive Staph aure</t>
  </si>
  <si>
    <t>Coconut Flavor Paste</t>
  </si>
  <si>
    <t>4/A4010</t>
  </si>
  <si>
    <t>Lemon Flavor Paste</t>
  </si>
  <si>
    <t>4/A5010</t>
  </si>
  <si>
    <t>Cayenne Pepper Powder</t>
  </si>
  <si>
    <t>1/B4000</t>
  </si>
  <si>
    <t>Garlic Powder</t>
  </si>
  <si>
    <t>1/B2000</t>
  </si>
  <si>
    <t>CERTIFICATE OF ANALYSIS WITH PRODUCT SPECIFICATIONS</t>
  </si>
  <si>
    <t>CERTIFICATE NUMBER</t>
  </si>
  <si>
    <t>:</t>
  </si>
  <si>
    <t>BATCH NUMBER</t>
  </si>
  <si>
    <t>PRODUCT</t>
  </si>
  <si>
    <t>PRODUCT CODE</t>
  </si>
  <si>
    <t>MANUFACTURING DATE</t>
  </si>
  <si>
    <t>QUANTITY</t>
  </si>
  <si>
    <t>EXPIRY DATE</t>
  </si>
  <si>
    <t>PRODUCT DESCRIPTION</t>
  </si>
  <si>
    <t>MICRO ANALYSIS</t>
  </si>
  <si>
    <t>PARAMETER</t>
  </si>
  <si>
    <t>UNIT OF MEASURES</t>
  </si>
  <si>
    <t>STANDARD</t>
  </si>
  <si>
    <t>MEAN RESULT</t>
  </si>
  <si>
    <t>REMARKS</t>
  </si>
  <si>
    <t>USES</t>
  </si>
  <si>
    <t>DOSAGE</t>
  </si>
  <si>
    <t>SHELF LIFE</t>
  </si>
  <si>
    <t>INGREDIENTS LIST</t>
  </si>
  <si>
    <t>PACKING</t>
  </si>
  <si>
    <t>Shelf life (Months)</t>
  </si>
  <si>
    <t xml:space="preserve">Onion Powder </t>
  </si>
  <si>
    <t>1/B1000</t>
  </si>
  <si>
    <t>Turmeric Powder</t>
  </si>
  <si>
    <t>1/B3000</t>
  </si>
  <si>
    <t>Oyster Flavor Paste</t>
  </si>
  <si>
    <t>4/A6010</t>
  </si>
  <si>
    <t>Parameter</t>
  </si>
  <si>
    <t>Moisture (%m/m)</t>
  </si>
  <si>
    <t>Standard</t>
  </si>
  <si>
    <t>Maximum</t>
  </si>
  <si>
    <t>&lt; 10%</t>
  </si>
  <si>
    <t>&lt; 1.5%</t>
  </si>
  <si>
    <t>&lt; 8%</t>
  </si>
  <si>
    <t>Aerobic Plate Count(cfu/g)</t>
  </si>
  <si>
    <t>&lt; 10000</t>
  </si>
  <si>
    <t>&lt; 5000</t>
  </si>
  <si>
    <t>&lt; 8000</t>
  </si>
  <si>
    <t>Coliforms (cfu/g)</t>
  </si>
  <si>
    <t>zero</t>
  </si>
  <si>
    <t>E. Coli Count Plate (cfu/g)</t>
  </si>
  <si>
    <t>Yeast and Mould (cfu/g)</t>
  </si>
  <si>
    <t>&lt; 1</t>
  </si>
  <si>
    <t>Salmonella (/250g)</t>
  </si>
  <si>
    <t>Coag Positive Staph aure (cfu/g)</t>
  </si>
  <si>
    <t>%m/m</t>
  </si>
  <si>
    <t>cfu/g</t>
  </si>
  <si>
    <t>250g</t>
  </si>
  <si>
    <t xml:space="preserve">Prepared by: </t>
  </si>
  <si>
    <t>QA/QC</t>
  </si>
  <si>
    <t xml:space="preserve">Validated by: </t>
  </si>
  <si>
    <t>Plant Manager</t>
  </si>
  <si>
    <t>&lt; 11000</t>
  </si>
  <si>
    <t>&lt; 5.5%</t>
  </si>
  <si>
    <t>DATE OF ANALYSIS</t>
  </si>
  <si>
    <t>Product Description</t>
  </si>
  <si>
    <t>Uses</t>
  </si>
  <si>
    <t>Dosage</t>
  </si>
  <si>
    <t>Storage</t>
  </si>
  <si>
    <t xml:space="preserve">Shelf Life </t>
  </si>
  <si>
    <t>Ingredients List</t>
  </si>
  <si>
    <t>Packing</t>
  </si>
  <si>
    <t>A natural coconut cream base that are further enhanced with concentrated flavors for use in creams and fillings for the cake, cookie, wafer, ice cream, and confectionery industry.</t>
  </si>
  <si>
    <t>1% to 3% depending on application and market preference.</t>
  </si>
  <si>
    <t>Cool and dry, below 30 ° C.</t>
  </si>
  <si>
    <t>Specialty Fat, Non Dairy Creamer, Concentrated Flavors, Coconut Powder, Dextrose Anhydrous and Emulsifier.</t>
  </si>
  <si>
    <t>Coconut Flavor paste is a formulated blend of food grade ingredients processed to give an enhanced natural flavor with a smooth mouth feel. This is an oil soluble product.</t>
  </si>
  <si>
    <t>12 Months</t>
  </si>
  <si>
    <t>20 kg Plastic Pail</t>
  </si>
  <si>
    <t>Garlic powder is a formulated blend of food grade ingredients processed to give an enhanced natural flavor with a smooth mouth feel. This is an oil soluble product.</t>
  </si>
  <si>
    <t>24 Months</t>
  </si>
  <si>
    <t>23 kg Plastic Pail</t>
  </si>
  <si>
    <t>STORAGE</t>
  </si>
  <si>
    <t>Turmeric powder is a formulated blend of food grade ingredients processed to give an enhanced natural flavor with a smooth mouth feel. This is an oil soluble product.</t>
  </si>
  <si>
    <t>24 kg Plastic Pail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</si>
</sst>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[$-3409]dd\-mmm\-yy;@"/>
    <numFmt numFmtId="165" formatCode="[$-3409]dd\-mmm\-yyyy;@"/>
    <numFmt numFmtId="166" formatCode="#,##0_ ;\-#,##0\ 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0"/>
      <color rgb="FF000000"/>
      <name val="Calibri"/>
      <family val="2"/>
    </font>
    <font>
      <b/>
      <sz val="36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6" fillId="0" borderId="0" applyFon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4" fillId="0" borderId="0" xfId="0" applyFont="1" applyAlignment="1">
      <alignment vertical="center"/>
    </xf>
    <xf numFmtId="0" fontId="3" fillId="0" borderId="0" xfId="0" applyFont="1" applyAlignment="1">
      <alignment horizontal="centerContinuous"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" xfId="0" applyFont="1" applyBorder="1" applyAlignment="1">
      <alignment vertical="center"/>
    </xf>
    <xf numFmtId="2" fontId="3" fillId="0" borderId="1" xfId="0" applyNumberFormat="1" applyFont="1" applyBorder="1" applyAlignment="1">
      <alignment horizontal="center" vertical="center"/>
    </xf>
    <xf numFmtId="3" fontId="3" fillId="0" borderId="1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4" xfId="0" applyFont="1" applyBorder="1" applyAlignment="1">
      <alignment vertical="center"/>
    </xf>
    <xf numFmtId="0" fontId="3" fillId="0" borderId="0" xfId="0" applyFont="1" applyAlignment="1">
      <alignment vertical="center" wrapText="1"/>
    </xf>
    <xf numFmtId="0" fontId="3" fillId="0" borderId="1" xfId="0" applyFont="1" applyBorder="1" applyAlignment="1">
      <alignment horizontal="center" vertical="center" wrapText="1"/>
    </xf>
    <xf numFmtId="165" fontId="0" fillId="0" borderId="0" xfId="0" applyNumberFormat="1"/>
    <xf numFmtId="164" fontId="3" fillId="0" borderId="0" xfId="0" applyNumberFormat="1" applyFont="1" applyAlignment="1">
      <alignment horizontal="left" vertical="center"/>
    </xf>
    <xf numFmtId="2" fontId="3" fillId="0" borderId="3" xfId="0" applyNumberFormat="1" applyFont="1" applyBorder="1" applyAlignment="1">
      <alignment horizontal="center" vertical="center"/>
    </xf>
    <xf numFmtId="166" fontId="3" fillId="0" borderId="0" xfId="1" applyNumberFormat="1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59">
    <dxf>
      <numFmt numFmtId="165" formatCode="[$-3409]dd\-mmm\-yyyy;@"/>
    </dxf>
    <dxf>
      <numFmt numFmtId="165" formatCode="[$-3409]dd\-mmm\-yyyy;@"/>
    </dxf>
    <dxf>
      <numFmt numFmtId="165" formatCode="[$-3409]dd\-mmm\-yyyy;@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571500</xdr:colOff>
          <xdr:row>0</xdr:row>
          <xdr:rowOff>104775</xdr:rowOff>
        </xdr:from>
        <xdr:to>
          <xdr:col>9</xdr:col>
          <xdr:colOff>123825</xdr:colOff>
          <xdr:row>4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323849</xdr:colOff>
      <xdr:row>0</xdr:row>
      <xdr:rowOff>123824</xdr:rowOff>
    </xdr:from>
    <xdr:to>
      <xdr:col>3</xdr:col>
      <xdr:colOff>419099</xdr:colOff>
      <xdr:row>5</xdr:row>
      <xdr:rowOff>19049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838976E1-1271-F0BC-FCA1-7BFA361A4925}"/>
            </a:ext>
          </a:extLst>
        </xdr:cNvPr>
        <xdr:cNvSpPr/>
      </xdr:nvSpPr>
      <xdr:spPr>
        <a:xfrm>
          <a:off x="323849" y="123824"/>
          <a:ext cx="4048125" cy="8477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PH" sz="1400" b="1"/>
            <a:t>HOW</a:t>
          </a:r>
          <a:r>
            <a:rPr lang="en-PH" sz="1400" b="1" baseline="0"/>
            <a:t> TO USE THE AUTOMATIC COA MAKER: </a:t>
          </a:r>
        </a:p>
        <a:p>
          <a:pPr algn="l"/>
          <a:r>
            <a:rPr lang="en-PH" sz="1100" baseline="0"/>
            <a:t>1. Click REFRESH</a:t>
          </a:r>
        </a:p>
        <a:p>
          <a:pPr algn="l"/>
          <a:r>
            <a:rPr lang="en-PH" sz="1100" baseline="0"/>
            <a:t>2. Select a row </a:t>
          </a:r>
        </a:p>
        <a:p>
          <a:pPr algn="l"/>
          <a:r>
            <a:rPr lang="en-PH" sz="1100" baseline="0"/>
            <a:t>3. Click GENERATE REPORT</a:t>
          </a:r>
          <a:endParaRPr lang="en-PH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0</xdr:row>
          <xdr:rowOff>114300</xdr:rowOff>
        </xdr:from>
        <xdr:to>
          <xdr:col>5</xdr:col>
          <xdr:colOff>428625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0</xdr:row>
          <xdr:rowOff>133350</xdr:rowOff>
        </xdr:from>
        <xdr:to>
          <xdr:col>14</xdr:col>
          <xdr:colOff>209550</xdr:colOff>
          <xdr:row>5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PH" sz="3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PDF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7DDCBB9-8701-4697-A8BE-0418B1DC8746}" autoFormatId="16" applyNumberFormats="0" applyBorderFormats="0" applyFontFormats="0" applyPatternFormats="0" applyAlignmentFormats="0" applyWidthHeightFormats="0">
  <queryTableRefresh nextId="22">
    <queryTableFields count="21">
      <queryTableField id="1" name="Date of Analysis" tableColumnId="1"/>
      <queryTableField id="2" name="Certificate Number" tableColumnId="2"/>
      <queryTableField id="3" name="Manufacturing Date" tableColumnId="3"/>
      <queryTableField id="4" name="Product Name" tableColumnId="4"/>
      <queryTableField id="5" name="Product Code" tableColumnId="5"/>
      <queryTableField id="6" name="Batch Number" tableColumnId="6"/>
      <queryTableField id="7" name="Expiry Date" tableColumnId="7"/>
      <queryTableField id="8" name="Moisture" tableColumnId="8"/>
      <queryTableField id="9" name="Aerobic Plate Count" tableColumnId="9"/>
      <queryTableField id="10" name="Coliforms" tableColumnId="10"/>
      <queryTableField id="11" name="E. Coli Count Plate" tableColumnId="11"/>
      <queryTableField id="12" name="Yeast and Mould" tableColumnId="12"/>
      <queryTableField id="13" name="Salmonella" tableColumnId="13"/>
      <queryTableField id="14" name="Coag Positive Staph aure" tableColumnId="14"/>
      <queryTableField id="15" name="Product Description" tableColumnId="15"/>
      <queryTableField id="16" name="Uses" tableColumnId="16"/>
      <queryTableField id="17" name="Dosage" tableColumnId="17"/>
      <queryTableField id="18" name="Storage" tableColumnId="18"/>
      <queryTableField id="19" name="Shelf Life " tableColumnId="19"/>
      <queryTableField id="20" name="Ingredients List" tableColumnId="20"/>
      <queryTableField id="21" name="Packing" tableColumnId="2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FFC6776-2C2A-462A-8F3A-BA332B2D4186}" name="LabResults" displayName="LabResults" ref="A7:U11" tableType="queryTable" totalsRowShown="0">
  <tableColumns count="21">
    <tableColumn id="1" xr3:uid="{0A541E35-5394-4E2A-B249-DAA640372D66}" uniqueName="1" name="Date of Analysis" queryTableFieldId="1" dataDxfId="2"/>
    <tableColumn id="2" xr3:uid="{167C4F00-7AEE-4526-B34A-F568F0A044CA}" uniqueName="2" name="Certificate Number" queryTableFieldId="2"/>
    <tableColumn id="3" xr3:uid="{9FFA8592-C1CC-4705-AFAC-049DDDECCEF6}" uniqueName="3" name="Manufacturing Date" queryTableFieldId="3" dataDxfId="1"/>
    <tableColumn id="4" xr3:uid="{1E49F34C-00E6-42E8-9840-9C133B12E97E}" uniqueName="4" name="Product Name" queryTableFieldId="4" dataDxfId="58"/>
    <tableColumn id="5" xr3:uid="{006ABC11-73C2-4B62-AFA3-B2C352E713F2}" uniqueName="5" name="Product Code" queryTableFieldId="5" dataDxfId="57"/>
    <tableColumn id="6" xr3:uid="{943D53C5-FBFF-4926-8BDD-0D3927E5B8A5}" uniqueName="6" name="Batch Number" queryTableFieldId="6"/>
    <tableColumn id="7" xr3:uid="{18FA2FF5-E3EC-4048-8F56-DBA5D91C9062}" uniqueName="7" name="Expiry Date" queryTableFieldId="7" dataDxfId="0"/>
    <tableColumn id="8" xr3:uid="{F2B3F747-E8E5-46EB-B1A2-E0E61142AF28}" uniqueName="8" name="Moisture" queryTableFieldId="8"/>
    <tableColumn id="9" xr3:uid="{3E48C269-43AC-4076-A0F2-8D7436BC201A}" uniqueName="9" name="Aerobic Plate Count" queryTableFieldId="9"/>
    <tableColumn id="10" xr3:uid="{90B8B421-84F1-4C8F-AC0E-AF4396E678A5}" uniqueName="10" name="Coliforms" queryTableFieldId="10"/>
    <tableColumn id="11" xr3:uid="{17597E4F-DE84-44DE-BB37-3473A7B8444A}" uniqueName="11" name="E. Coli Count Plate" queryTableFieldId="11"/>
    <tableColumn id="12" xr3:uid="{81900D0C-B248-432F-A383-9062EA7BEDD3}" uniqueName="12" name="Yeast and Mould" queryTableFieldId="12"/>
    <tableColumn id="13" xr3:uid="{EE4E1AAE-761A-4592-B5F6-D938B63E9216}" uniqueName="13" name="Salmonella" queryTableFieldId="13"/>
    <tableColumn id="14" xr3:uid="{077CC1C6-1CFF-4EB2-8E3F-0A48456783B5}" uniqueName="14" name="Coag Positive Staph aure" queryTableFieldId="14"/>
    <tableColumn id="15" xr3:uid="{8EDCACD7-D199-47BD-B8FC-7655A6239FBC}" uniqueName="15" name="Product Description" queryTableFieldId="15" dataDxfId="56"/>
    <tableColumn id="16" xr3:uid="{96A0E754-EE06-4313-8404-84DE11F8249C}" uniqueName="16" name="Uses" queryTableFieldId="16" dataDxfId="55"/>
    <tableColumn id="17" xr3:uid="{E877B0BB-67C3-4ED7-A423-C4744D262096}" uniqueName="17" name="Dosage" queryTableFieldId="17" dataDxfId="54"/>
    <tableColumn id="18" xr3:uid="{5F05764B-84C2-4D04-B0B4-DEEB492C43E6}" uniqueName="18" name="Storage" queryTableFieldId="18" dataDxfId="53"/>
    <tableColumn id="19" xr3:uid="{531B0079-22A9-48A7-B6C2-94AC8C8D3F10}" uniqueName="19" name="Shelf Life " queryTableFieldId="19" dataDxfId="52"/>
    <tableColumn id="20" xr3:uid="{F187DA66-300A-40A2-9127-1A51A6218A05}" uniqueName="20" name="Ingredients List" queryTableFieldId="20" dataDxfId="51"/>
    <tableColumn id="21" xr3:uid="{3E9ACBC0-9146-45B0-A098-2B46E784EE04}" uniqueName="21" name="Packing" queryTableFieldId="21" dataDxfId="5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9E16533-5A35-476D-B171-43EA74A640D2}" name="ProdNameCode" displayName="ProdNameCode" ref="A1:C8" totalsRowShown="0" headerRowDxfId="49" dataDxfId="48">
  <tableColumns count="3">
    <tableColumn id="1" xr3:uid="{95BD2612-E187-4BA2-A36B-69E1BDCC868D}" name="Product Name" dataDxfId="47"/>
    <tableColumn id="2" xr3:uid="{5816846E-0F62-43D6-BA26-BAC17FAEAE79}" name="Product Code" dataDxfId="46"/>
    <tableColumn id="3" xr3:uid="{4D1EF9BC-966A-4979-BFE5-8730AE82444C}" name="Shelf life (Months)" dataDxfId="45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7A2233F-890E-45CC-97CB-8C04E25F3BF6}" name="StdMoisture" displayName="StdMoisture" ref="B11:E18" totalsRowShown="0" headerRowDxfId="44" dataDxfId="43">
  <tableColumns count="4">
    <tableColumn id="1" xr3:uid="{39BE878B-2079-4CAE-A657-645BDBB8307A}" name="Product Name" dataDxfId="42"/>
    <tableColumn id="2" xr3:uid="{73526568-8DFD-47BF-80C6-3A69E27B7FFC}" name="Product Code" dataDxfId="41"/>
    <tableColumn id="3" xr3:uid="{53321142-FEF3-43EF-A4CA-DCDE0EB23912}" name="Standard" dataDxfId="40"/>
    <tableColumn id="4" xr3:uid="{5E5BD39E-5FA7-49B0-82C0-436E92191C73}" name="Maximum" dataDxfId="39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415E124-0768-46C4-9B8F-87516BAC1F3F}" name="StdAerobicCount" displayName="StdAerobicCount" ref="B22:E29" totalsRowShown="0" headerRowDxfId="38" dataDxfId="37">
  <tableColumns count="4">
    <tableColumn id="1" xr3:uid="{00DE3FE5-A366-47E7-98BC-783DE5601694}" name="Product Name" dataDxfId="36"/>
    <tableColumn id="2" xr3:uid="{586E2142-8B8E-47A1-9E6C-66DA129AC237}" name="Product Code" dataDxfId="35"/>
    <tableColumn id="3" xr3:uid="{4A0D3279-D755-4FDC-B0ED-1927080807A1}" name="Standard" dataDxfId="34"/>
    <tableColumn id="4" xr3:uid="{DEE19989-C057-44DF-871F-28CEAA9A96B8}" name="Maximum" dataDxfId="33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0DFBD4-8D29-4369-9CCB-0392479916D4}" name="StdColiforms" displayName="StdColiforms" ref="B33:E40" totalsRowShown="0" headerRowDxfId="32" dataDxfId="31">
  <tableColumns count="4">
    <tableColumn id="1" xr3:uid="{0E964E30-E83B-4845-B9F8-9D3CCC8BE7DD}" name="Product Name" dataDxfId="30"/>
    <tableColumn id="2" xr3:uid="{D3416CC6-9E5C-4DD1-9989-3A73666B330C}" name="Product Code" dataDxfId="29"/>
    <tableColumn id="3" xr3:uid="{797A2CB4-61C8-4014-97D3-B9417220454B}" name="Standard" dataDxfId="28"/>
    <tableColumn id="4" xr3:uid="{023E5BBD-1FF4-432E-BBBB-7FB8455E08E7}" name="Maximum" dataDxfId="27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7E97297-2A2E-47EA-8C97-BE85A45BE0DD}" name="StdEColiCountPlate" displayName="StdEColiCountPlate" ref="B44:E51" totalsRowShown="0" headerRowDxfId="26" dataDxfId="25">
  <tableColumns count="4">
    <tableColumn id="1" xr3:uid="{21B93450-C939-43FA-B8ED-092790C8F2B6}" name="Product Name" dataDxfId="24"/>
    <tableColumn id="2" xr3:uid="{FCD342A4-EAA2-4E18-AA78-33B4D9091F79}" name="Product Code" dataDxfId="23"/>
    <tableColumn id="3" xr3:uid="{28E16344-D59E-4120-904F-0A396EBECB4C}" name="Standard" dataDxfId="22"/>
    <tableColumn id="4" xr3:uid="{BDAF3DFC-2628-4A74-B35B-F50B899CB4F3}" name="Maximum" dataDxfId="21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8A12B1C-C1C3-4793-982A-99BCDD846125}" name="StdYeastMould" displayName="StdYeastMould" ref="B55:E62" totalsRowShown="0" headerRowDxfId="20" dataDxfId="19">
  <tableColumns count="4">
    <tableColumn id="1" xr3:uid="{3E792A20-3BF0-4162-81BB-CD62F279DFFE}" name="Product Name" dataDxfId="18"/>
    <tableColumn id="2" xr3:uid="{BEDB4045-98EA-4759-AAD9-867650F0D81F}" name="Product Code" dataDxfId="17"/>
    <tableColumn id="3" xr3:uid="{33310600-41A2-4E35-A434-0D4830882921}" name="Standard" dataDxfId="16"/>
    <tableColumn id="4" xr3:uid="{A431DAB8-DBC4-4929-8269-83229D9DA4BB}" name="Maximum" dataDxfId="15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4D24864-9AFE-4062-8E4B-5862F930338B}" name="StdSalmonella" displayName="StdSalmonella" ref="B66:E73" totalsRowShown="0" headerRowDxfId="14" dataDxfId="13">
  <tableColumns count="4">
    <tableColumn id="1" xr3:uid="{05DE7403-6EDC-494E-B211-E4E1E14F47FB}" name="Product Name" dataDxfId="12"/>
    <tableColumn id="2" xr3:uid="{55B50F6B-6F7D-4464-B517-16ED8492F5A4}" name="Product Code" dataDxfId="11"/>
    <tableColumn id="3" xr3:uid="{F15B18AA-4FEE-4342-A39A-CA1824AA3853}" name="Standard" dataDxfId="10"/>
    <tableColumn id="4" xr3:uid="{83A11EFA-C617-4939-A952-B23315FEE876}" name="Maximum" dataDxfId="9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C7C1ACC-CB10-43C8-B716-0F78BB394EAB}" name="StdCoagStaph" displayName="StdCoagStaph" ref="B77:E84" totalsRowShown="0" headerRowDxfId="8" dataDxfId="7">
  <tableColumns count="4">
    <tableColumn id="1" xr3:uid="{ED119A62-AE6A-4E5E-A95C-51F48C193142}" name="Product Name" dataDxfId="6"/>
    <tableColumn id="2" xr3:uid="{2088237B-DAEF-4241-B2F0-0149CD6EB7CB}" name="Product Code" dataDxfId="5"/>
    <tableColumn id="3" xr3:uid="{3759DB6F-B193-4D93-9416-EDE0A848E197}" name="Standard" dataDxfId="4"/>
    <tableColumn id="4" xr3:uid="{76616ACA-B774-43D4-A3F8-353F1BA1BC14}" name="Maximum" dataDxfId="3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2362A-B5E7-4860-8611-708DB58A6F6A}">
  <sheetPr codeName="Sheet1"/>
  <dimension ref="A7:U11"/>
  <sheetViews>
    <sheetView showGridLines="0" tabSelected="1" workbookViewId="0">
      <selection activeCell="H17" sqref="H17"/>
    </sheetView>
  </sheetViews>
  <sheetFormatPr defaultRowHeight="15" x14ac:dyDescent="0.25"/>
  <cols>
    <col min="1" max="1" width="15.28515625" bestFit="1" customWidth="1"/>
    <col min="2" max="2" width="18.28515625" bestFit="1" customWidth="1"/>
    <col min="3" max="3" width="18.85546875" bestFit="1" customWidth="1"/>
    <col min="4" max="4" width="19.7109375" bestFit="1" customWidth="1"/>
    <col min="5" max="5" width="12.85546875" bestFit="1" customWidth="1"/>
    <col min="6" max="6" width="13.7109375" bestFit="1" customWidth="1"/>
    <col min="7" max="7" width="11.42578125" bestFit="1" customWidth="1"/>
    <col min="8" max="8" width="12" bestFit="1" customWidth="1"/>
    <col min="9" max="9" width="18.85546875" bestFit="1" customWidth="1"/>
    <col min="10" max="10" width="12" bestFit="1" customWidth="1"/>
    <col min="11" max="11" width="17.42578125" bestFit="1" customWidth="1"/>
    <col min="12" max="12" width="16" bestFit="1" customWidth="1"/>
    <col min="13" max="13" width="10.85546875" bestFit="1" customWidth="1"/>
    <col min="14" max="14" width="23.140625" bestFit="1" customWidth="1"/>
    <col min="15" max="16" width="81.140625" bestFit="1" customWidth="1"/>
    <col min="17" max="17" width="54.7109375" bestFit="1" customWidth="1"/>
    <col min="18" max="18" width="24.7109375" bestFit="1" customWidth="1"/>
    <col min="19" max="19" width="10.140625" bestFit="1" customWidth="1"/>
    <col min="20" max="20" width="81.140625" bestFit="1" customWidth="1"/>
    <col min="21" max="21" width="15.42578125" bestFit="1" customWidth="1"/>
    <col min="22" max="23" width="81.140625" bestFit="1" customWidth="1"/>
    <col min="24" max="24" width="54.7109375" bestFit="1" customWidth="1"/>
    <col min="25" max="25" width="24.7109375" bestFit="1" customWidth="1"/>
    <col min="26" max="26" width="12" bestFit="1" customWidth="1"/>
    <col min="27" max="27" width="81.140625" bestFit="1" customWidth="1"/>
    <col min="28" max="28" width="15.42578125" bestFit="1" customWidth="1"/>
    <col min="29" max="29" width="25.42578125" bestFit="1" customWidth="1"/>
  </cols>
  <sheetData>
    <row r="7" spans="1:21" x14ac:dyDescent="0.25">
      <c r="A7" t="s">
        <v>0</v>
      </c>
      <c r="B7" t="s">
        <v>1</v>
      </c>
      <c r="C7" t="s">
        <v>2</v>
      </c>
      <c r="D7" t="s">
        <v>3</v>
      </c>
      <c r="E7" t="s">
        <v>4</v>
      </c>
      <c r="F7" t="s">
        <v>5</v>
      </c>
      <c r="G7" t="s">
        <v>6</v>
      </c>
      <c r="H7" t="s">
        <v>7</v>
      </c>
      <c r="I7" t="s">
        <v>8</v>
      </c>
      <c r="J7" t="s">
        <v>9</v>
      </c>
      <c r="K7" t="s">
        <v>10</v>
      </c>
      <c r="L7" t="s">
        <v>11</v>
      </c>
      <c r="M7" t="s">
        <v>12</v>
      </c>
      <c r="N7" t="s">
        <v>13</v>
      </c>
      <c r="O7" t="s">
        <v>78</v>
      </c>
      <c r="P7" t="s">
        <v>79</v>
      </c>
      <c r="Q7" t="s">
        <v>80</v>
      </c>
      <c r="R7" t="s">
        <v>81</v>
      </c>
      <c r="S7" t="s">
        <v>82</v>
      </c>
      <c r="T7" t="s">
        <v>83</v>
      </c>
      <c r="U7" t="s">
        <v>84</v>
      </c>
    </row>
    <row r="8" spans="1:21" x14ac:dyDescent="0.25">
      <c r="A8" s="19">
        <v>45566</v>
      </c>
      <c r="B8">
        <v>24001</v>
      </c>
      <c r="C8" s="19">
        <v>45566</v>
      </c>
      <c r="D8" t="s">
        <v>14</v>
      </c>
      <c r="E8" t="s">
        <v>15</v>
      </c>
      <c r="F8">
        <v>20241001</v>
      </c>
      <c r="G8" s="19">
        <v>45931</v>
      </c>
      <c r="H8">
        <v>3.4666666670000001</v>
      </c>
      <c r="I8">
        <v>8333.3333330000005</v>
      </c>
      <c r="J8">
        <v>0</v>
      </c>
      <c r="K8">
        <v>0</v>
      </c>
      <c r="L8">
        <v>0.5</v>
      </c>
      <c r="M8">
        <v>0</v>
      </c>
      <c r="N8">
        <v>0</v>
      </c>
      <c r="O8" t="s">
        <v>89</v>
      </c>
      <c r="P8" t="s">
        <v>85</v>
      </c>
      <c r="Q8" t="s">
        <v>86</v>
      </c>
      <c r="R8" t="s">
        <v>87</v>
      </c>
      <c r="S8" t="s">
        <v>90</v>
      </c>
      <c r="T8" t="s">
        <v>88</v>
      </c>
      <c r="U8" t="s">
        <v>91</v>
      </c>
    </row>
    <row r="9" spans="1:21" x14ac:dyDescent="0.25">
      <c r="A9" s="19">
        <v>45571</v>
      </c>
      <c r="B9">
        <v>24006</v>
      </c>
      <c r="C9" s="19">
        <v>45571</v>
      </c>
      <c r="D9" t="s">
        <v>14</v>
      </c>
      <c r="E9" t="s">
        <v>15</v>
      </c>
      <c r="F9">
        <v>20241005</v>
      </c>
      <c r="G9" s="19">
        <v>45936</v>
      </c>
      <c r="H9">
        <v>6.3333333329999997</v>
      </c>
      <c r="O9" t="s">
        <v>89</v>
      </c>
      <c r="P9" t="s">
        <v>85</v>
      </c>
      <c r="Q9" t="s">
        <v>86</v>
      </c>
      <c r="R9" t="s">
        <v>87</v>
      </c>
      <c r="S9" t="s">
        <v>90</v>
      </c>
      <c r="T9" t="s">
        <v>88</v>
      </c>
      <c r="U9" t="s">
        <v>91</v>
      </c>
    </row>
    <row r="10" spans="1:21" x14ac:dyDescent="0.25">
      <c r="A10" s="19">
        <v>45568</v>
      </c>
      <c r="B10">
        <v>24004</v>
      </c>
      <c r="C10" s="19">
        <v>45568</v>
      </c>
      <c r="D10" t="s">
        <v>20</v>
      </c>
      <c r="E10" t="s">
        <v>21</v>
      </c>
      <c r="F10">
        <v>20241003</v>
      </c>
      <c r="G10" s="19">
        <v>46298</v>
      </c>
      <c r="H10">
        <v>0.8266666667</v>
      </c>
      <c r="I10">
        <v>2733.333333</v>
      </c>
      <c r="J10">
        <v>0</v>
      </c>
      <c r="K10">
        <v>0</v>
      </c>
      <c r="L10">
        <v>0.7</v>
      </c>
      <c r="M10">
        <v>0</v>
      </c>
      <c r="N10">
        <v>0</v>
      </c>
      <c r="O10" t="s">
        <v>92</v>
      </c>
      <c r="P10" t="s">
        <v>85</v>
      </c>
      <c r="Q10" t="s">
        <v>86</v>
      </c>
      <c r="R10" t="s">
        <v>87</v>
      </c>
      <c r="S10" t="s">
        <v>93</v>
      </c>
      <c r="T10" t="s">
        <v>88</v>
      </c>
      <c r="U10" t="s">
        <v>94</v>
      </c>
    </row>
    <row r="11" spans="1:21" x14ac:dyDescent="0.25">
      <c r="A11" s="19">
        <v>45570</v>
      </c>
      <c r="B11">
        <v>24005</v>
      </c>
      <c r="C11" s="19">
        <v>45570</v>
      </c>
      <c r="D11" t="s">
        <v>46</v>
      </c>
      <c r="E11" t="s">
        <v>47</v>
      </c>
      <c r="F11">
        <v>20241004</v>
      </c>
      <c r="G11" s="19">
        <v>46300</v>
      </c>
      <c r="H11">
        <v>0.86666666670000003</v>
      </c>
      <c r="I11">
        <v>4333.3333329999996</v>
      </c>
      <c r="J11">
        <v>0.66666666669999997</v>
      </c>
      <c r="K11">
        <v>0</v>
      </c>
      <c r="L11">
        <v>0.76666666670000005</v>
      </c>
      <c r="M11">
        <v>0</v>
      </c>
      <c r="N11">
        <v>0.66666666669999997</v>
      </c>
      <c r="O11" t="s">
        <v>96</v>
      </c>
      <c r="P11" t="s">
        <v>85</v>
      </c>
      <c r="Q11" t="s">
        <v>86</v>
      </c>
      <c r="R11" t="s">
        <v>87</v>
      </c>
      <c r="S11" t="s">
        <v>93</v>
      </c>
      <c r="T11" t="s">
        <v>88</v>
      </c>
      <c r="U11" t="s">
        <v>97</v>
      </c>
    </row>
  </sheetData>
  <phoneticPr fontId="5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nerateReport">
                <anchor>
                  <from>
                    <xdr:col>6</xdr:col>
                    <xdr:colOff>571500</xdr:colOff>
                    <xdr:row>0</xdr:row>
                    <xdr:rowOff>104775</xdr:rowOff>
                  </from>
                  <to>
                    <xdr:col>9</xdr:col>
                    <xdr:colOff>123825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freshAll">
                <anchor moveWithCells="1" sizeWithCells="1">
                  <from>
                    <xdr:col>3</xdr:col>
                    <xdr:colOff>800100</xdr:colOff>
                    <xdr:row>0</xdr:row>
                    <xdr:rowOff>114300</xdr:rowOff>
                  </from>
                  <to>
                    <xdr:col>5</xdr:col>
                    <xdr:colOff>428625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FB480-9C7D-40E0-907F-617F238C1A49}">
  <sheetPr codeName="Sheet2"/>
  <dimension ref="A2:K53"/>
  <sheetViews>
    <sheetView showGridLines="0" view="pageBreakPreview" topLeftCell="A10" zoomScale="96" zoomScaleNormal="100" zoomScaleSheetLayoutView="96" workbookViewId="0">
      <selection activeCell="J24" sqref="J24"/>
    </sheetView>
  </sheetViews>
  <sheetFormatPr defaultRowHeight="15.75" x14ac:dyDescent="0.25"/>
  <cols>
    <col min="1" max="1" width="2.28515625" style="6" customWidth="1"/>
    <col min="2" max="2" width="23.7109375" style="6" customWidth="1"/>
    <col min="3" max="3" width="1.7109375" style="6" customWidth="1"/>
    <col min="4" max="4" width="17.42578125" style="6" customWidth="1"/>
    <col min="5" max="5" width="16.5703125" style="6" customWidth="1"/>
    <col min="6" max="6" width="23.42578125" style="6" customWidth="1"/>
    <col min="7" max="7" width="1.7109375" style="6" customWidth="1"/>
    <col min="8" max="8" width="18" style="7" customWidth="1"/>
    <col min="9" max="16384" width="9.140625" style="6"/>
  </cols>
  <sheetData>
    <row r="2" spans="1:11" ht="23.25" customHeight="1" x14ac:dyDescent="0.25">
      <c r="A2" s="23" t="s">
        <v>22</v>
      </c>
      <c r="B2" s="23"/>
      <c r="C2" s="23"/>
      <c r="D2" s="23"/>
      <c r="E2" s="23"/>
      <c r="F2" s="23"/>
      <c r="G2" s="23"/>
      <c r="H2" s="23"/>
      <c r="I2" s="4"/>
      <c r="J2" s="4"/>
      <c r="K2" s="5"/>
    </row>
    <row r="4" spans="1:11" x14ac:dyDescent="0.25">
      <c r="A4" s="4" t="s">
        <v>23</v>
      </c>
      <c r="B4" s="4"/>
      <c r="C4" s="4" t="s">
        <v>24</v>
      </c>
      <c r="D4" s="7">
        <v>24004</v>
      </c>
      <c r="E4" s="4"/>
      <c r="F4" s="4" t="s">
        <v>29</v>
      </c>
      <c r="G4" s="4" t="s">
        <v>24</v>
      </c>
      <c r="H4" s="22">
        <v>2134</v>
      </c>
    </row>
    <row r="5" spans="1:11" x14ac:dyDescent="0.25">
      <c r="A5" s="4"/>
      <c r="B5" s="4"/>
      <c r="C5" s="4"/>
      <c r="D5" s="7"/>
      <c r="E5" s="4"/>
      <c r="G5" s="4"/>
    </row>
    <row r="6" spans="1:11" x14ac:dyDescent="0.25">
      <c r="A6" s="4" t="s">
        <v>26</v>
      </c>
      <c r="B6" s="4"/>
      <c r="C6" s="4" t="s">
        <v>24</v>
      </c>
      <c r="D6" s="7" t="s">
        <v>20</v>
      </c>
      <c r="E6" s="4"/>
      <c r="F6" s="4" t="s">
        <v>77</v>
      </c>
      <c r="G6" s="4" t="s">
        <v>24</v>
      </c>
      <c r="H6" s="20">
        <v>45568</v>
      </c>
    </row>
    <row r="7" spans="1:11" x14ac:dyDescent="0.25">
      <c r="A7" s="4"/>
      <c r="B7" s="4"/>
      <c r="C7" s="4"/>
      <c r="D7" s="7"/>
      <c r="F7" s="4"/>
      <c r="G7" s="4"/>
    </row>
    <row r="8" spans="1:11" x14ac:dyDescent="0.25">
      <c r="A8" s="4" t="s">
        <v>27</v>
      </c>
      <c r="B8" s="4"/>
      <c r="C8" s="4" t="s">
        <v>24</v>
      </c>
      <c r="D8" s="7" t="s">
        <v>21</v>
      </c>
      <c r="E8" s="4"/>
      <c r="F8" s="4" t="s">
        <v>28</v>
      </c>
      <c r="G8" s="4" t="s">
        <v>24</v>
      </c>
      <c r="H8" s="20">
        <v>45568</v>
      </c>
    </row>
    <row r="9" spans="1:11" x14ac:dyDescent="0.25">
      <c r="A9" s="4"/>
      <c r="B9" s="4"/>
      <c r="C9" s="4"/>
      <c r="E9" s="4"/>
      <c r="F9" s="4"/>
      <c r="G9" s="4"/>
    </row>
    <row r="10" spans="1:11" x14ac:dyDescent="0.25">
      <c r="A10" s="4" t="s">
        <v>25</v>
      </c>
      <c r="B10" s="4"/>
      <c r="C10" s="4" t="s">
        <v>24</v>
      </c>
      <c r="D10" s="7">
        <v>20241003</v>
      </c>
      <c r="E10" s="4"/>
      <c r="F10" s="4" t="s">
        <v>30</v>
      </c>
      <c r="G10" s="4" t="s">
        <v>24</v>
      </c>
      <c r="H10" s="20">
        <v>46298</v>
      </c>
    </row>
    <row r="11" spans="1:11" x14ac:dyDescent="0.25">
      <c r="C11" s="4"/>
      <c r="G11" s="4"/>
    </row>
    <row r="12" spans="1:11" ht="15.75" customHeight="1" x14ac:dyDescent="0.25">
      <c r="A12" s="4" t="s">
        <v>31</v>
      </c>
      <c r="C12" s="4" t="s">
        <v>24</v>
      </c>
      <c r="D12" s="24" t="s">
        <v>92</v>
      </c>
      <c r="E12" s="24"/>
      <c r="F12" s="24"/>
      <c r="G12" s="24"/>
      <c r="H12" s="24"/>
    </row>
    <row r="13" spans="1:11" x14ac:dyDescent="0.25">
      <c r="A13" s="4"/>
      <c r="C13" s="4"/>
      <c r="D13" s="24"/>
      <c r="E13" s="24"/>
      <c r="F13" s="24"/>
      <c r="G13" s="24"/>
      <c r="H13" s="24"/>
    </row>
    <row r="14" spans="1:11" x14ac:dyDescent="0.25">
      <c r="A14" s="4"/>
      <c r="C14" s="4"/>
      <c r="D14" s="24"/>
      <c r="E14" s="24"/>
      <c r="F14" s="24"/>
      <c r="G14" s="24"/>
      <c r="H14" s="24"/>
    </row>
    <row r="15" spans="1:11" x14ac:dyDescent="0.25">
      <c r="C15" s="4"/>
      <c r="D15" s="24"/>
      <c r="E15" s="24"/>
      <c r="F15" s="24"/>
      <c r="G15" s="24"/>
      <c r="H15" s="24"/>
    </row>
    <row r="16" spans="1:11" x14ac:dyDescent="0.25">
      <c r="A16" s="4" t="s">
        <v>32</v>
      </c>
      <c r="C16" s="4"/>
      <c r="G16" s="4"/>
    </row>
    <row r="17" spans="1:8" x14ac:dyDescent="0.25">
      <c r="A17" s="4"/>
    </row>
    <row r="18" spans="1:8" ht="24.95" customHeight="1" x14ac:dyDescent="0.25">
      <c r="B18" s="8" t="s">
        <v>33</v>
      </c>
      <c r="C18" s="25" t="s">
        <v>34</v>
      </c>
      <c r="D18" s="26"/>
      <c r="E18" s="8" t="s">
        <v>35</v>
      </c>
      <c r="F18" s="8" t="s">
        <v>36</v>
      </c>
      <c r="G18" s="25" t="s">
        <v>37</v>
      </c>
      <c r="H18" s="26"/>
    </row>
    <row r="19" spans="1:8" ht="24.95" customHeight="1" x14ac:dyDescent="0.25">
      <c r="B19" s="8" t="s">
        <v>7</v>
      </c>
      <c r="C19" s="11"/>
      <c r="D19" s="10" t="s">
        <v>68</v>
      </c>
      <c r="E19" s="8" t="str">
        <f>VLOOKUP(D6,StdMoisture[#All],3,FALSE)</f>
        <v>&lt; 1.5%</v>
      </c>
      <c r="F19" s="12">
        <v>0.8266666667</v>
      </c>
      <c r="G19" s="9"/>
      <c r="H19" s="21" t="str">
        <f>IF(F19&lt;VLOOKUP(D6,StdMoisture[#All],4,FALSE), "Conforms", "Did Not Conform")</f>
        <v>Conforms</v>
      </c>
    </row>
    <row r="20" spans="1:8" ht="24.95" customHeight="1" x14ac:dyDescent="0.25">
      <c r="B20" s="8" t="s">
        <v>8</v>
      </c>
      <c r="C20" s="11"/>
      <c r="D20" s="10" t="s">
        <v>69</v>
      </c>
      <c r="E20" s="8" t="str">
        <f>VLOOKUP(D6,StdAerobicCount[#All],3,FALSE)</f>
        <v>&lt; 5000</v>
      </c>
      <c r="F20" s="13">
        <v>2733.333333</v>
      </c>
      <c r="G20" s="9"/>
      <c r="H20" s="10" t="str">
        <f>IF(F20&lt;VLOOKUP(D6,StdAerobicCount[#All],4,FALSE), "Conforms", "Did Not Conform")</f>
        <v>Conforms</v>
      </c>
    </row>
    <row r="21" spans="1:8" ht="24.95" customHeight="1" x14ac:dyDescent="0.25">
      <c r="B21" s="8" t="s">
        <v>9</v>
      </c>
      <c r="C21" s="11"/>
      <c r="D21" s="10" t="s">
        <v>69</v>
      </c>
      <c r="E21" s="8" t="str">
        <f>VLOOKUP(D6,StdColiforms[#All],3,FALSE)</f>
        <v>zero</v>
      </c>
      <c r="F21" s="8">
        <v>0</v>
      </c>
      <c r="G21" s="9"/>
      <c r="H21" s="10" t="str">
        <f>IF(F21&lt;=VLOOKUP(D6,StdColiforms[#All],4,FALSE), "Not Detected", "Did Not Conform")</f>
        <v>Not Detected</v>
      </c>
    </row>
    <row r="22" spans="1:8" ht="24.95" customHeight="1" x14ac:dyDescent="0.25">
      <c r="B22" s="8" t="s">
        <v>10</v>
      </c>
      <c r="C22" s="11"/>
      <c r="D22" s="10" t="s">
        <v>69</v>
      </c>
      <c r="E22" s="8" t="str">
        <f>VLOOKUP(D6,StdEColiCountPlate[#All],3,FALSE)</f>
        <v>zero</v>
      </c>
      <c r="F22" s="8">
        <v>0</v>
      </c>
      <c r="G22" s="9"/>
      <c r="H22" s="10" t="str">
        <f>IF(F22&lt;=VLOOKUP(D6,StdEColiCountPlate[#All],4,FALSE), "Not Detected", "Did Not Conform")</f>
        <v>Not Detected</v>
      </c>
    </row>
    <row r="23" spans="1:8" ht="24.95" customHeight="1" x14ac:dyDescent="0.25">
      <c r="B23" s="8" t="s">
        <v>11</v>
      </c>
      <c r="C23" s="11"/>
      <c r="D23" s="10" t="s">
        <v>69</v>
      </c>
      <c r="E23" s="8" t="str">
        <f>VLOOKUP(D6,StdYeastMould[#All],3,FALSE)</f>
        <v>&lt; 1</v>
      </c>
      <c r="F23" s="8">
        <v>0.7</v>
      </c>
      <c r="G23" s="9"/>
      <c r="H23" s="10" t="str">
        <f>IF(F23&lt;=VLOOKUP(D6,StdYeastMould[#All],4,FALSE), "Not Detected", "Did Not Conform")</f>
        <v>Not Detected</v>
      </c>
    </row>
    <row r="24" spans="1:8" ht="24.95" customHeight="1" x14ac:dyDescent="0.25">
      <c r="B24" s="8" t="s">
        <v>12</v>
      </c>
      <c r="C24" s="11"/>
      <c r="D24" s="10" t="s">
        <v>70</v>
      </c>
      <c r="E24" s="8" t="str">
        <f>VLOOKUP(D6,StdSalmonella[#All],3,FALSE)</f>
        <v>zero</v>
      </c>
      <c r="F24" s="8">
        <v>0</v>
      </c>
      <c r="G24" s="9"/>
      <c r="H24" s="10" t="str">
        <f>IF(F24&lt;=VLOOKUP(D6,StdSalmonella[#All],4,FALSE), "Not Detected", "Did Not Conform")</f>
        <v>Not Detected</v>
      </c>
    </row>
    <row r="25" spans="1:8" ht="24.95" customHeight="1" x14ac:dyDescent="0.25">
      <c r="B25" s="18" t="s">
        <v>13</v>
      </c>
      <c r="C25" s="11"/>
      <c r="D25" s="10" t="s">
        <v>69</v>
      </c>
      <c r="E25" s="8" t="str">
        <f>VLOOKUP(D6,StdCoagStaph[#All],3,FALSE)</f>
        <v>zero</v>
      </c>
      <c r="F25" s="8">
        <v>0</v>
      </c>
      <c r="G25" s="9"/>
      <c r="H25" s="10" t="str">
        <f>IF(F25&lt;=VLOOKUP(D6,StdCoagStaph[#All],4,FALSE), "Not Detected", "Did Not Conform")</f>
        <v>Not Detected</v>
      </c>
    </row>
    <row r="26" spans="1:8" ht="15" customHeight="1" x14ac:dyDescent="0.25">
      <c r="B26" s="14"/>
      <c r="C26" s="14"/>
      <c r="D26" s="14"/>
      <c r="E26" s="14"/>
      <c r="F26" s="14"/>
      <c r="G26" s="14"/>
    </row>
    <row r="27" spans="1:8" ht="15" customHeight="1" x14ac:dyDescent="0.25">
      <c r="B27" s="14"/>
      <c r="C27" s="14"/>
      <c r="D27" s="14"/>
      <c r="E27" s="14"/>
      <c r="F27" s="14"/>
      <c r="G27" s="14"/>
    </row>
    <row r="28" spans="1:8" ht="15" customHeight="1" x14ac:dyDescent="0.25">
      <c r="A28" s="4" t="s">
        <v>38</v>
      </c>
      <c r="B28" s="15"/>
      <c r="C28" s="15" t="s">
        <v>24</v>
      </c>
      <c r="D28" s="24" t="s">
        <v>85</v>
      </c>
      <c r="E28" s="24"/>
      <c r="F28" s="24"/>
      <c r="G28" s="24"/>
      <c r="H28" s="24"/>
    </row>
    <row r="29" spans="1:8" ht="15" customHeight="1" x14ac:dyDescent="0.25">
      <c r="A29" s="4"/>
      <c r="B29" s="15"/>
      <c r="C29" s="15"/>
      <c r="D29" s="24"/>
      <c r="E29" s="24"/>
      <c r="F29" s="24"/>
      <c r="G29" s="24"/>
      <c r="H29" s="24"/>
    </row>
    <row r="30" spans="1:8" ht="15" customHeight="1" x14ac:dyDescent="0.25">
      <c r="A30" s="4"/>
      <c r="B30" s="15"/>
      <c r="C30" s="15"/>
      <c r="D30" s="24"/>
      <c r="E30" s="24"/>
      <c r="F30" s="24"/>
      <c r="G30" s="24"/>
      <c r="H30" s="24"/>
    </row>
    <row r="31" spans="1:8" ht="15" customHeight="1" x14ac:dyDescent="0.25">
      <c r="A31" s="4"/>
      <c r="B31" s="4"/>
      <c r="C31" s="4"/>
      <c r="D31" s="24"/>
      <c r="E31" s="24"/>
      <c r="F31" s="24"/>
      <c r="G31" s="24"/>
      <c r="H31" s="24"/>
    </row>
    <row r="32" spans="1:8" ht="15" customHeight="1" x14ac:dyDescent="0.25">
      <c r="A32" s="4" t="s">
        <v>39</v>
      </c>
      <c r="B32" s="4"/>
      <c r="C32" s="4" t="s">
        <v>24</v>
      </c>
      <c r="D32" s="6" t="s">
        <v>86</v>
      </c>
      <c r="G32" s="4"/>
    </row>
    <row r="33" spans="1:8" ht="15" customHeight="1" x14ac:dyDescent="0.25">
      <c r="A33" s="4"/>
      <c r="B33" s="4"/>
      <c r="C33" s="4"/>
      <c r="G33" s="4"/>
    </row>
    <row r="34" spans="1:8" ht="15" customHeight="1" x14ac:dyDescent="0.25">
      <c r="A34" s="4" t="s">
        <v>95</v>
      </c>
      <c r="B34" s="4"/>
      <c r="C34" s="4" t="s">
        <v>24</v>
      </c>
      <c r="D34" s="6" t="s">
        <v>87</v>
      </c>
      <c r="G34" s="4"/>
    </row>
    <row r="35" spans="1:8" ht="15" customHeight="1" x14ac:dyDescent="0.25">
      <c r="A35" s="4"/>
      <c r="B35" s="4"/>
      <c r="C35" s="4"/>
      <c r="G35" s="4"/>
    </row>
    <row r="36" spans="1:8" ht="15" customHeight="1" x14ac:dyDescent="0.25">
      <c r="A36" s="4" t="s">
        <v>40</v>
      </c>
      <c r="B36" s="4"/>
      <c r="C36" s="4" t="s">
        <v>24</v>
      </c>
      <c r="D36" s="6" t="s">
        <v>93</v>
      </c>
      <c r="G36" s="4"/>
    </row>
    <row r="37" spans="1:8" x14ac:dyDescent="0.25">
      <c r="A37" s="4"/>
      <c r="B37" s="4"/>
      <c r="C37" s="4"/>
      <c r="G37" s="4"/>
    </row>
    <row r="38" spans="1:8" x14ac:dyDescent="0.25">
      <c r="A38" s="4" t="s">
        <v>41</v>
      </c>
      <c r="B38" s="4"/>
      <c r="C38" s="4" t="s">
        <v>24</v>
      </c>
      <c r="D38" s="24" t="s">
        <v>88</v>
      </c>
      <c r="E38" s="24"/>
      <c r="F38" s="24"/>
      <c r="G38" s="24"/>
      <c r="H38" s="24"/>
    </row>
    <row r="39" spans="1:8" x14ac:dyDescent="0.25">
      <c r="A39" s="4"/>
      <c r="B39" s="4"/>
      <c r="C39" s="4"/>
      <c r="D39" s="24"/>
      <c r="E39" s="24"/>
      <c r="F39" s="24"/>
      <c r="G39" s="24"/>
      <c r="H39" s="24"/>
    </row>
    <row r="40" spans="1:8" x14ac:dyDescent="0.25">
      <c r="A40" s="4"/>
      <c r="B40" s="4"/>
      <c r="C40" s="4"/>
      <c r="D40" s="24"/>
      <c r="E40" s="24"/>
      <c r="F40" s="24"/>
      <c r="G40" s="24"/>
      <c r="H40" s="24"/>
    </row>
    <row r="41" spans="1:8" x14ac:dyDescent="0.25">
      <c r="A41" s="4" t="s">
        <v>42</v>
      </c>
      <c r="B41" s="4"/>
      <c r="C41" s="4" t="s">
        <v>24</v>
      </c>
      <c r="D41" s="6" t="s">
        <v>94</v>
      </c>
      <c r="G41" s="4"/>
    </row>
    <row r="42" spans="1:8" x14ac:dyDescent="0.25">
      <c r="A42" s="4"/>
      <c r="B42" s="4"/>
      <c r="C42" s="4"/>
      <c r="G42" s="4"/>
    </row>
    <row r="43" spans="1:8" x14ac:dyDescent="0.25">
      <c r="A43" s="4"/>
      <c r="B43" s="4"/>
      <c r="C43" s="4"/>
      <c r="G43" s="4"/>
    </row>
    <row r="44" spans="1:8" x14ac:dyDescent="0.25">
      <c r="B44" s="6" t="s">
        <v>71</v>
      </c>
      <c r="F44" s="6" t="s">
        <v>73</v>
      </c>
    </row>
    <row r="47" spans="1:8" x14ac:dyDescent="0.25">
      <c r="B47" s="16"/>
      <c r="C47" s="16"/>
      <c r="F47" s="16"/>
      <c r="G47" s="16"/>
    </row>
    <row r="48" spans="1:8" x14ac:dyDescent="0.25">
      <c r="B48" s="14" t="s">
        <v>72</v>
      </c>
      <c r="F48" s="14" t="s">
        <v>74</v>
      </c>
    </row>
    <row r="53" spans="4:4" x14ac:dyDescent="0.25">
      <c r="D53" s="17"/>
    </row>
  </sheetData>
  <mergeCells count="6">
    <mergeCell ref="A2:H2"/>
    <mergeCell ref="D38:H40"/>
    <mergeCell ref="C18:D18"/>
    <mergeCell ref="G18:H18"/>
    <mergeCell ref="D12:H15"/>
    <mergeCell ref="D28:H31"/>
  </mergeCells>
  <pageMargins left="0.59055118110236227" right="0.59055118110236227" top="0.55118110236220474" bottom="0.35433070866141736" header="0.31496062992125984" footer="0.31496062992125984"/>
  <pageSetup scale="88" orientation="portrait" r:id="rId1"/>
  <headerFooter>
    <oddHeader xml:space="preserve">&amp;R
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eratePDF">
                <anchor moveWithCells="1" sizeWithCells="1">
                  <from>
                    <xdr:col>8</xdr:col>
                    <xdr:colOff>209550</xdr:colOff>
                    <xdr:row>0</xdr:row>
                    <xdr:rowOff>133350</xdr:rowOff>
                  </from>
                  <to>
                    <xdr:col>14</xdr:col>
                    <xdr:colOff>209550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71C25-3F6B-47AE-ACB4-FCE10BBE8932}">
  <sheetPr codeName="Sheet3"/>
  <dimension ref="A1:E84"/>
  <sheetViews>
    <sheetView showGridLines="0" topLeftCell="A4" workbookViewId="0">
      <selection activeCell="H9" sqref="H9"/>
    </sheetView>
  </sheetViews>
  <sheetFormatPr defaultColWidth="9.140625" defaultRowHeight="15" x14ac:dyDescent="0.25"/>
  <cols>
    <col min="1" max="1" width="23.28515625" style="1" bestFit="1" customWidth="1"/>
    <col min="2" max="2" width="29.85546875" style="1" bestFit="1" customWidth="1"/>
    <col min="3" max="3" width="24.5703125" style="1" bestFit="1" customWidth="1"/>
    <col min="4" max="4" width="9.140625" style="1"/>
    <col min="5" max="5" width="16.140625" style="1" bestFit="1" customWidth="1"/>
    <col min="6" max="16384" width="9.140625" style="1"/>
  </cols>
  <sheetData>
    <row r="1" spans="1:5" x14ac:dyDescent="0.25">
      <c r="A1" s="1" t="s">
        <v>3</v>
      </c>
      <c r="B1" s="1" t="s">
        <v>4</v>
      </c>
      <c r="C1" s="1" t="s">
        <v>43</v>
      </c>
    </row>
    <row r="2" spans="1:5" x14ac:dyDescent="0.25">
      <c r="A2" s="1" t="s">
        <v>14</v>
      </c>
      <c r="B2" s="1" t="s">
        <v>15</v>
      </c>
      <c r="C2" s="1">
        <v>12</v>
      </c>
    </row>
    <row r="3" spans="1:5" x14ac:dyDescent="0.25">
      <c r="A3" s="1" t="s">
        <v>16</v>
      </c>
      <c r="B3" s="1" t="s">
        <v>17</v>
      </c>
      <c r="C3" s="1">
        <v>10</v>
      </c>
    </row>
    <row r="4" spans="1:5" x14ac:dyDescent="0.25">
      <c r="A4" s="1" t="s">
        <v>44</v>
      </c>
      <c r="B4" s="1" t="s">
        <v>45</v>
      </c>
      <c r="C4" s="1">
        <v>24</v>
      </c>
    </row>
    <row r="5" spans="1:5" x14ac:dyDescent="0.25">
      <c r="A5" s="1" t="s">
        <v>20</v>
      </c>
      <c r="B5" s="1" t="s">
        <v>21</v>
      </c>
      <c r="C5" s="1">
        <v>24</v>
      </c>
    </row>
    <row r="6" spans="1:5" x14ac:dyDescent="0.25">
      <c r="A6" s="1" t="s">
        <v>46</v>
      </c>
      <c r="B6" s="1" t="s">
        <v>47</v>
      </c>
      <c r="C6" s="1">
        <v>24</v>
      </c>
    </row>
    <row r="7" spans="1:5" x14ac:dyDescent="0.25">
      <c r="A7" s="1" t="s">
        <v>48</v>
      </c>
      <c r="B7" s="1" t="s">
        <v>49</v>
      </c>
      <c r="C7" s="1">
        <v>10</v>
      </c>
    </row>
    <row r="8" spans="1:5" x14ac:dyDescent="0.25">
      <c r="A8" s="1" t="s">
        <v>18</v>
      </c>
      <c r="B8" s="1" t="s">
        <v>19</v>
      </c>
      <c r="C8" s="1">
        <v>24</v>
      </c>
    </row>
    <row r="10" spans="1:5" x14ac:dyDescent="0.25">
      <c r="A10" s="2" t="s">
        <v>50</v>
      </c>
      <c r="B10" s="2" t="s">
        <v>51</v>
      </c>
    </row>
    <row r="11" spans="1:5" x14ac:dyDescent="0.25">
      <c r="B11" s="1" t="s">
        <v>3</v>
      </c>
      <c r="C11" s="1" t="s">
        <v>4</v>
      </c>
      <c r="D11" s="1" t="s">
        <v>52</v>
      </c>
      <c r="E11" s="1" t="s">
        <v>53</v>
      </c>
    </row>
    <row r="12" spans="1:5" x14ac:dyDescent="0.25">
      <c r="B12" s="1" t="s">
        <v>14</v>
      </c>
      <c r="C12" s="1" t="s">
        <v>15</v>
      </c>
      <c r="D12" s="1" t="s">
        <v>76</v>
      </c>
      <c r="E12" s="1">
        <v>5</v>
      </c>
    </row>
    <row r="13" spans="1:5" x14ac:dyDescent="0.25">
      <c r="B13" s="1" t="s">
        <v>16</v>
      </c>
      <c r="C13" s="1" t="s">
        <v>17</v>
      </c>
      <c r="D13" s="1" t="s">
        <v>54</v>
      </c>
      <c r="E13" s="1">
        <v>10</v>
      </c>
    </row>
    <row r="14" spans="1:5" x14ac:dyDescent="0.25">
      <c r="B14" s="1" t="s">
        <v>44</v>
      </c>
      <c r="C14" s="1" t="s">
        <v>45</v>
      </c>
      <c r="D14" s="1" t="s">
        <v>55</v>
      </c>
      <c r="E14" s="1">
        <v>1.5</v>
      </c>
    </row>
    <row r="15" spans="1:5" x14ac:dyDescent="0.25">
      <c r="B15" s="1" t="s">
        <v>20</v>
      </c>
      <c r="C15" s="1" t="s">
        <v>21</v>
      </c>
      <c r="D15" s="1" t="s">
        <v>55</v>
      </c>
      <c r="E15" s="1">
        <v>1.5</v>
      </c>
    </row>
    <row r="16" spans="1:5" x14ac:dyDescent="0.25">
      <c r="B16" s="1" t="s">
        <v>46</v>
      </c>
      <c r="C16" s="1" t="s">
        <v>47</v>
      </c>
      <c r="D16" s="1" t="s">
        <v>55</v>
      </c>
      <c r="E16" s="1">
        <v>1.5</v>
      </c>
    </row>
    <row r="17" spans="1:5" x14ac:dyDescent="0.25">
      <c r="B17" s="1" t="s">
        <v>48</v>
      </c>
      <c r="C17" s="1" t="s">
        <v>49</v>
      </c>
      <c r="D17" s="1" t="s">
        <v>56</v>
      </c>
      <c r="E17" s="1">
        <v>8</v>
      </c>
    </row>
    <row r="18" spans="1:5" x14ac:dyDescent="0.25">
      <c r="B18" s="1" t="s">
        <v>18</v>
      </c>
      <c r="C18" s="1" t="s">
        <v>19</v>
      </c>
      <c r="D18" s="1" t="s">
        <v>55</v>
      </c>
      <c r="E18" s="1">
        <v>1.5</v>
      </c>
    </row>
    <row r="21" spans="1:5" x14ac:dyDescent="0.25">
      <c r="A21" s="2" t="s">
        <v>50</v>
      </c>
      <c r="B21" s="2" t="s">
        <v>57</v>
      </c>
    </row>
    <row r="22" spans="1:5" x14ac:dyDescent="0.25">
      <c r="B22" s="1" t="s">
        <v>3</v>
      </c>
      <c r="C22" s="1" t="s">
        <v>4</v>
      </c>
      <c r="D22" s="1" t="s">
        <v>52</v>
      </c>
      <c r="E22" s="1" t="s">
        <v>53</v>
      </c>
    </row>
    <row r="23" spans="1:5" x14ac:dyDescent="0.25">
      <c r="B23" s="1" t="s">
        <v>14</v>
      </c>
      <c r="C23" s="1" t="s">
        <v>15</v>
      </c>
      <c r="D23" s="1" t="s">
        <v>75</v>
      </c>
      <c r="E23" s="3">
        <v>10000</v>
      </c>
    </row>
    <row r="24" spans="1:5" x14ac:dyDescent="0.25">
      <c r="B24" s="1" t="s">
        <v>16</v>
      </c>
      <c r="C24" s="1" t="s">
        <v>17</v>
      </c>
      <c r="D24" s="1" t="s">
        <v>58</v>
      </c>
      <c r="E24" s="3">
        <v>10000</v>
      </c>
    </row>
    <row r="25" spans="1:5" x14ac:dyDescent="0.25">
      <c r="B25" s="1" t="s">
        <v>44</v>
      </c>
      <c r="C25" s="1" t="s">
        <v>45</v>
      </c>
      <c r="D25" s="1" t="s">
        <v>59</v>
      </c>
      <c r="E25" s="3">
        <v>5000</v>
      </c>
    </row>
    <row r="26" spans="1:5" x14ac:dyDescent="0.25">
      <c r="B26" s="1" t="s">
        <v>20</v>
      </c>
      <c r="C26" s="1" t="s">
        <v>21</v>
      </c>
      <c r="D26" s="1" t="s">
        <v>59</v>
      </c>
      <c r="E26" s="3">
        <v>5000</v>
      </c>
    </row>
    <row r="27" spans="1:5" x14ac:dyDescent="0.25">
      <c r="B27" s="1" t="s">
        <v>46</v>
      </c>
      <c r="C27" s="1" t="s">
        <v>47</v>
      </c>
      <c r="D27" s="1" t="s">
        <v>59</v>
      </c>
      <c r="E27" s="3">
        <v>5000</v>
      </c>
    </row>
    <row r="28" spans="1:5" x14ac:dyDescent="0.25">
      <c r="B28" s="1" t="s">
        <v>48</v>
      </c>
      <c r="C28" s="1" t="s">
        <v>49</v>
      </c>
      <c r="D28" s="1" t="s">
        <v>60</v>
      </c>
      <c r="E28" s="3">
        <v>8000</v>
      </c>
    </row>
    <row r="29" spans="1:5" x14ac:dyDescent="0.25">
      <c r="B29" s="1" t="s">
        <v>18</v>
      </c>
      <c r="C29" s="1" t="s">
        <v>19</v>
      </c>
      <c r="D29" s="1" t="s">
        <v>59</v>
      </c>
      <c r="E29" s="3">
        <v>5000</v>
      </c>
    </row>
    <row r="32" spans="1:5" x14ac:dyDescent="0.25">
      <c r="A32" s="2" t="s">
        <v>50</v>
      </c>
      <c r="B32" s="2" t="s">
        <v>61</v>
      </c>
    </row>
    <row r="33" spans="1:5" x14ac:dyDescent="0.25">
      <c r="B33" s="1" t="s">
        <v>3</v>
      </c>
      <c r="C33" s="1" t="s">
        <v>4</v>
      </c>
      <c r="D33" s="1" t="s">
        <v>52</v>
      </c>
      <c r="E33" s="1" t="s">
        <v>53</v>
      </c>
    </row>
    <row r="34" spans="1:5" x14ac:dyDescent="0.25">
      <c r="B34" s="1" t="s">
        <v>14</v>
      </c>
      <c r="C34" s="1" t="s">
        <v>15</v>
      </c>
      <c r="D34" s="1" t="s">
        <v>62</v>
      </c>
      <c r="E34" s="3">
        <v>0</v>
      </c>
    </row>
    <row r="35" spans="1:5" x14ac:dyDescent="0.25">
      <c r="B35" s="1" t="s">
        <v>16</v>
      </c>
      <c r="C35" s="1" t="s">
        <v>17</v>
      </c>
      <c r="D35" s="1" t="s">
        <v>62</v>
      </c>
      <c r="E35" s="3">
        <v>0</v>
      </c>
    </row>
    <row r="36" spans="1:5" x14ac:dyDescent="0.25">
      <c r="B36" s="1" t="s">
        <v>44</v>
      </c>
      <c r="C36" s="1" t="s">
        <v>45</v>
      </c>
      <c r="D36" s="1" t="s">
        <v>62</v>
      </c>
      <c r="E36" s="3">
        <v>0</v>
      </c>
    </row>
    <row r="37" spans="1:5" x14ac:dyDescent="0.25">
      <c r="B37" s="1" t="s">
        <v>20</v>
      </c>
      <c r="C37" s="1" t="s">
        <v>21</v>
      </c>
      <c r="D37" s="1" t="s">
        <v>62</v>
      </c>
      <c r="E37" s="3">
        <v>0</v>
      </c>
    </row>
    <row r="38" spans="1:5" x14ac:dyDescent="0.25">
      <c r="B38" s="1" t="s">
        <v>46</v>
      </c>
      <c r="C38" s="1" t="s">
        <v>47</v>
      </c>
      <c r="D38" s="1" t="s">
        <v>62</v>
      </c>
      <c r="E38" s="3">
        <v>0</v>
      </c>
    </row>
    <row r="39" spans="1:5" x14ac:dyDescent="0.25">
      <c r="B39" s="1" t="s">
        <v>48</v>
      </c>
      <c r="C39" s="1" t="s">
        <v>49</v>
      </c>
      <c r="D39" s="1" t="s">
        <v>62</v>
      </c>
      <c r="E39" s="3">
        <v>0</v>
      </c>
    </row>
    <row r="40" spans="1:5" x14ac:dyDescent="0.25">
      <c r="B40" s="1" t="s">
        <v>18</v>
      </c>
      <c r="C40" s="1" t="s">
        <v>19</v>
      </c>
      <c r="D40" s="1" t="s">
        <v>62</v>
      </c>
      <c r="E40" s="3">
        <v>0</v>
      </c>
    </row>
    <row r="43" spans="1:5" x14ac:dyDescent="0.25">
      <c r="A43" s="2" t="s">
        <v>50</v>
      </c>
      <c r="B43" s="2" t="s">
        <v>63</v>
      </c>
    </row>
    <row r="44" spans="1:5" x14ac:dyDescent="0.25">
      <c r="B44" s="1" t="s">
        <v>3</v>
      </c>
      <c r="C44" s="1" t="s">
        <v>4</v>
      </c>
      <c r="D44" s="1" t="s">
        <v>52</v>
      </c>
      <c r="E44" s="1" t="s">
        <v>53</v>
      </c>
    </row>
    <row r="45" spans="1:5" x14ac:dyDescent="0.25">
      <c r="B45" s="1" t="s">
        <v>14</v>
      </c>
      <c r="C45" s="1" t="s">
        <v>15</v>
      </c>
      <c r="D45" s="1" t="s">
        <v>62</v>
      </c>
      <c r="E45" s="3">
        <v>0</v>
      </c>
    </row>
    <row r="46" spans="1:5" x14ac:dyDescent="0.25">
      <c r="B46" s="1" t="s">
        <v>16</v>
      </c>
      <c r="C46" s="1" t="s">
        <v>17</v>
      </c>
      <c r="D46" s="1" t="s">
        <v>62</v>
      </c>
      <c r="E46" s="3">
        <v>0</v>
      </c>
    </row>
    <row r="47" spans="1:5" x14ac:dyDescent="0.25">
      <c r="B47" s="1" t="s">
        <v>44</v>
      </c>
      <c r="C47" s="1" t="s">
        <v>45</v>
      </c>
      <c r="D47" s="1" t="s">
        <v>62</v>
      </c>
      <c r="E47" s="3">
        <v>0</v>
      </c>
    </row>
    <row r="48" spans="1:5" x14ac:dyDescent="0.25">
      <c r="B48" s="1" t="s">
        <v>20</v>
      </c>
      <c r="C48" s="1" t="s">
        <v>21</v>
      </c>
      <c r="D48" s="1" t="s">
        <v>62</v>
      </c>
      <c r="E48" s="3">
        <v>0</v>
      </c>
    </row>
    <row r="49" spans="1:5" x14ac:dyDescent="0.25">
      <c r="B49" s="1" t="s">
        <v>46</v>
      </c>
      <c r="C49" s="1" t="s">
        <v>47</v>
      </c>
      <c r="D49" s="1" t="s">
        <v>62</v>
      </c>
      <c r="E49" s="3">
        <v>0</v>
      </c>
    </row>
    <row r="50" spans="1:5" x14ac:dyDescent="0.25">
      <c r="B50" s="1" t="s">
        <v>48</v>
      </c>
      <c r="C50" s="1" t="s">
        <v>49</v>
      </c>
      <c r="D50" s="1" t="s">
        <v>62</v>
      </c>
      <c r="E50" s="3">
        <v>0</v>
      </c>
    </row>
    <row r="51" spans="1:5" x14ac:dyDescent="0.25">
      <c r="B51" s="1" t="s">
        <v>18</v>
      </c>
      <c r="C51" s="1" t="s">
        <v>19</v>
      </c>
      <c r="D51" s="1" t="s">
        <v>62</v>
      </c>
      <c r="E51" s="3">
        <v>0</v>
      </c>
    </row>
    <row r="54" spans="1:5" x14ac:dyDescent="0.25">
      <c r="A54" s="2" t="s">
        <v>50</v>
      </c>
      <c r="B54" s="2" t="s">
        <v>64</v>
      </c>
    </row>
    <row r="55" spans="1:5" x14ac:dyDescent="0.25">
      <c r="B55" s="1" t="s">
        <v>3</v>
      </c>
      <c r="C55" s="1" t="s">
        <v>4</v>
      </c>
      <c r="D55" s="1" t="s">
        <v>52</v>
      </c>
      <c r="E55" s="1" t="s">
        <v>53</v>
      </c>
    </row>
    <row r="56" spans="1:5" x14ac:dyDescent="0.25">
      <c r="B56" s="1" t="s">
        <v>14</v>
      </c>
      <c r="C56" s="1" t="s">
        <v>15</v>
      </c>
      <c r="D56" s="1" t="s">
        <v>65</v>
      </c>
      <c r="E56" s="3">
        <v>1</v>
      </c>
    </row>
    <row r="57" spans="1:5" x14ac:dyDescent="0.25">
      <c r="B57" s="1" t="s">
        <v>16</v>
      </c>
      <c r="C57" s="1" t="s">
        <v>17</v>
      </c>
      <c r="D57" s="1" t="s">
        <v>65</v>
      </c>
      <c r="E57" s="3">
        <v>1</v>
      </c>
    </row>
    <row r="58" spans="1:5" x14ac:dyDescent="0.25">
      <c r="B58" s="1" t="s">
        <v>44</v>
      </c>
      <c r="C58" s="1" t="s">
        <v>45</v>
      </c>
      <c r="D58" s="1" t="s">
        <v>65</v>
      </c>
      <c r="E58" s="3">
        <v>1</v>
      </c>
    </row>
    <row r="59" spans="1:5" x14ac:dyDescent="0.25">
      <c r="B59" s="1" t="s">
        <v>20</v>
      </c>
      <c r="C59" s="1" t="s">
        <v>21</v>
      </c>
      <c r="D59" s="1" t="s">
        <v>65</v>
      </c>
      <c r="E59" s="3">
        <v>1</v>
      </c>
    </row>
    <row r="60" spans="1:5" x14ac:dyDescent="0.25">
      <c r="B60" s="1" t="s">
        <v>46</v>
      </c>
      <c r="C60" s="1" t="s">
        <v>47</v>
      </c>
      <c r="D60" s="1" t="s">
        <v>65</v>
      </c>
      <c r="E60" s="3">
        <v>1</v>
      </c>
    </row>
    <row r="61" spans="1:5" x14ac:dyDescent="0.25">
      <c r="B61" s="1" t="s">
        <v>48</v>
      </c>
      <c r="C61" s="1" t="s">
        <v>49</v>
      </c>
      <c r="D61" s="1" t="s">
        <v>65</v>
      </c>
      <c r="E61" s="3">
        <v>1</v>
      </c>
    </row>
    <row r="62" spans="1:5" x14ac:dyDescent="0.25">
      <c r="B62" s="1" t="s">
        <v>18</v>
      </c>
      <c r="C62" s="1" t="s">
        <v>19</v>
      </c>
      <c r="D62" s="1" t="s">
        <v>65</v>
      </c>
      <c r="E62" s="3">
        <v>1</v>
      </c>
    </row>
    <row r="65" spans="1:5" x14ac:dyDescent="0.25">
      <c r="A65" s="2" t="s">
        <v>50</v>
      </c>
      <c r="B65" s="2" t="s">
        <v>66</v>
      </c>
    </row>
    <row r="66" spans="1:5" x14ac:dyDescent="0.25">
      <c r="B66" s="1" t="s">
        <v>3</v>
      </c>
      <c r="C66" s="1" t="s">
        <v>4</v>
      </c>
      <c r="D66" s="1" t="s">
        <v>52</v>
      </c>
      <c r="E66" s="1" t="s">
        <v>53</v>
      </c>
    </row>
    <row r="67" spans="1:5" x14ac:dyDescent="0.25">
      <c r="B67" s="1" t="s">
        <v>14</v>
      </c>
      <c r="C67" s="1" t="s">
        <v>15</v>
      </c>
      <c r="D67" s="1" t="s">
        <v>62</v>
      </c>
      <c r="E67" s="3">
        <v>0</v>
      </c>
    </row>
    <row r="68" spans="1:5" x14ac:dyDescent="0.25">
      <c r="B68" s="1" t="s">
        <v>16</v>
      </c>
      <c r="C68" s="1" t="s">
        <v>17</v>
      </c>
      <c r="D68" s="1" t="s">
        <v>62</v>
      </c>
      <c r="E68" s="3">
        <v>0</v>
      </c>
    </row>
    <row r="69" spans="1:5" x14ac:dyDescent="0.25">
      <c r="B69" s="1" t="s">
        <v>44</v>
      </c>
      <c r="C69" s="1" t="s">
        <v>45</v>
      </c>
      <c r="D69" s="1" t="s">
        <v>62</v>
      </c>
      <c r="E69" s="3">
        <v>0</v>
      </c>
    </row>
    <row r="70" spans="1:5" x14ac:dyDescent="0.25">
      <c r="B70" s="1" t="s">
        <v>20</v>
      </c>
      <c r="C70" s="1" t="s">
        <v>21</v>
      </c>
      <c r="D70" s="1" t="s">
        <v>62</v>
      </c>
      <c r="E70" s="3">
        <v>0</v>
      </c>
    </row>
    <row r="71" spans="1:5" x14ac:dyDescent="0.25">
      <c r="B71" s="1" t="s">
        <v>46</v>
      </c>
      <c r="C71" s="1" t="s">
        <v>47</v>
      </c>
      <c r="D71" s="1" t="s">
        <v>62</v>
      </c>
      <c r="E71" s="3">
        <v>0</v>
      </c>
    </row>
    <row r="72" spans="1:5" x14ac:dyDescent="0.25">
      <c r="B72" s="1" t="s">
        <v>48</v>
      </c>
      <c r="C72" s="1" t="s">
        <v>49</v>
      </c>
      <c r="D72" s="1" t="s">
        <v>62</v>
      </c>
      <c r="E72" s="3">
        <v>0</v>
      </c>
    </row>
    <row r="73" spans="1:5" x14ac:dyDescent="0.25">
      <c r="B73" s="1" t="s">
        <v>18</v>
      </c>
      <c r="C73" s="1" t="s">
        <v>19</v>
      </c>
      <c r="D73" s="1" t="s">
        <v>62</v>
      </c>
      <c r="E73" s="3">
        <v>0</v>
      </c>
    </row>
    <row r="76" spans="1:5" x14ac:dyDescent="0.25">
      <c r="A76" s="2" t="s">
        <v>50</v>
      </c>
      <c r="B76" s="2" t="s">
        <v>67</v>
      </c>
    </row>
    <row r="77" spans="1:5" x14ac:dyDescent="0.25">
      <c r="B77" s="1" t="s">
        <v>3</v>
      </c>
      <c r="C77" s="1" t="s">
        <v>4</v>
      </c>
      <c r="D77" s="1" t="s">
        <v>52</v>
      </c>
      <c r="E77" s="1" t="s">
        <v>53</v>
      </c>
    </row>
    <row r="78" spans="1:5" x14ac:dyDescent="0.25">
      <c r="B78" s="1" t="s">
        <v>14</v>
      </c>
      <c r="C78" s="1" t="s">
        <v>15</v>
      </c>
      <c r="D78" s="1" t="s">
        <v>62</v>
      </c>
      <c r="E78" s="3">
        <v>0</v>
      </c>
    </row>
    <row r="79" spans="1:5" x14ac:dyDescent="0.25">
      <c r="B79" s="1" t="s">
        <v>16</v>
      </c>
      <c r="C79" s="1" t="s">
        <v>17</v>
      </c>
      <c r="D79" s="1" t="s">
        <v>62</v>
      </c>
      <c r="E79" s="3">
        <v>0</v>
      </c>
    </row>
    <row r="80" spans="1:5" x14ac:dyDescent="0.25">
      <c r="B80" s="1" t="s">
        <v>44</v>
      </c>
      <c r="C80" s="1" t="s">
        <v>45</v>
      </c>
      <c r="D80" s="1" t="s">
        <v>62</v>
      </c>
      <c r="E80" s="3">
        <v>0</v>
      </c>
    </row>
    <row r="81" spans="2:5" x14ac:dyDescent="0.25">
      <c r="B81" s="1" t="s">
        <v>20</v>
      </c>
      <c r="C81" s="1" t="s">
        <v>21</v>
      </c>
      <c r="D81" s="1" t="s">
        <v>62</v>
      </c>
      <c r="E81" s="3">
        <v>0</v>
      </c>
    </row>
    <row r="82" spans="2:5" x14ac:dyDescent="0.25">
      <c r="B82" s="1" t="s">
        <v>46</v>
      </c>
      <c r="C82" s="1" t="s">
        <v>47</v>
      </c>
      <c r="D82" s="1" t="s">
        <v>62</v>
      </c>
      <c r="E82" s="3">
        <v>0</v>
      </c>
    </row>
    <row r="83" spans="2:5" x14ac:dyDescent="0.25">
      <c r="B83" s="1" t="s">
        <v>48</v>
      </c>
      <c r="C83" s="1" t="s">
        <v>49</v>
      </c>
      <c r="D83" s="1" t="s">
        <v>62</v>
      </c>
      <c r="E83" s="3">
        <v>0</v>
      </c>
    </row>
    <row r="84" spans="2:5" x14ac:dyDescent="0.25">
      <c r="B84" s="1" t="s">
        <v>18</v>
      </c>
      <c r="C84" s="1" t="s">
        <v>19</v>
      </c>
      <c r="D84" s="1" t="s">
        <v>62</v>
      </c>
      <c r="E84" s="3">
        <v>0</v>
      </c>
    </row>
  </sheetData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A259648-00EA-4B46-9B1D-371A0105E5F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data</vt:lpstr>
      <vt:lpstr>coa</vt:lpstr>
      <vt:lpstr>standards</vt:lpstr>
      <vt:lpstr>coa!Print_Area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Jericka Marco</dc:creator>
  <cp:lastModifiedBy>Jericka Marco</cp:lastModifiedBy>
  <cp:lastPrinted>2024-10-07T09:21:19Z</cp:lastPrinted>
  <dcterms:created xsi:type="dcterms:W3CDTF">2024-10-03T06:18:23Z</dcterms:created>
  <dcterms:modified xsi:type="dcterms:W3CDTF">2024-10-07T09:22:30Z</dcterms:modified>
</cp:coreProperties>
</file>